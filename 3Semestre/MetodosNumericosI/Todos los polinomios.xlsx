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iego\Documents\Metodos 2\Excel tareas\"/>
    </mc:Choice>
  </mc:AlternateContent>
  <xr:revisionPtr revIDLastSave="0" documentId="8_{4732275E-1DC4-4DCD-8950-A0A3DCDF7FED}" xr6:coauthVersionLast="47" xr6:coauthVersionMax="47" xr10:uidLastSave="{00000000-0000-0000-0000-000000000000}"/>
  <bookViews>
    <workbookView xWindow="-120" yWindow="-120" windowWidth="20730" windowHeight="11040" activeTab="4" xr2:uid="{33FC16D0-0B72-4E44-8807-1F1F84DFC84A}"/>
  </bookViews>
  <sheets>
    <sheet name="Polinomio de Lagrange" sheetId="1" r:id="rId1"/>
    <sheet name="Diferencia" sheetId="2" r:id="rId2"/>
    <sheet name="Diferencias" sheetId="3" r:id="rId3"/>
    <sheet name="Newton" sheetId="4" r:id="rId4"/>
    <sheet name="Hermi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5" l="1"/>
  <c r="F13" i="5" s="1"/>
  <c r="D7" i="5"/>
  <c r="E6" i="5" s="1"/>
  <c r="D5" i="5"/>
  <c r="E4" i="5" s="1"/>
  <c r="D3" i="5"/>
  <c r="E2" i="5" s="1"/>
  <c r="E14" i="5" s="1"/>
  <c r="F14" i="5" l="1"/>
  <c r="E3" i="5"/>
  <c r="F2" i="5" s="1"/>
  <c r="E15" i="5" s="1"/>
  <c r="E7" i="5"/>
  <c r="F6" i="5" s="1"/>
  <c r="E5" i="5"/>
  <c r="F4" i="5" s="1"/>
  <c r="F15" i="5" l="1"/>
  <c r="F5" i="5"/>
  <c r="G4" i="5" s="1"/>
  <c r="F3" i="5"/>
  <c r="G2" i="5" s="1"/>
  <c r="E16" i="5" s="1"/>
  <c r="F16" i="5" l="1"/>
  <c r="F17" i="5" s="1"/>
  <c r="F18" i="5" s="1"/>
  <c r="G3" i="5"/>
  <c r="H2" i="5" s="1"/>
  <c r="E17" i="5" s="1"/>
  <c r="H3" i="5"/>
  <c r="I2" i="5" s="1"/>
  <c r="E18" i="5" s="1"/>
  <c r="G5" i="5"/>
  <c r="H4" i="5" s="1"/>
  <c r="I3" i="5" l="1"/>
  <c r="J2" i="5" s="1"/>
  <c r="E19" i="5" s="1"/>
  <c r="F19" i="5" s="1"/>
  <c r="G14" i="4" l="1"/>
  <c r="H14" i="4" s="1"/>
  <c r="G10" i="4"/>
  <c r="B10" i="4"/>
  <c r="D6" i="4"/>
  <c r="D5" i="4"/>
  <c r="E4" i="4" s="1"/>
  <c r="D4" i="4"/>
  <c r="D3" i="4"/>
  <c r="E2" i="4" s="1"/>
  <c r="D2" i="4"/>
  <c r="E5" i="4" l="1"/>
  <c r="E3" i="4"/>
  <c r="F2" i="4" s="1"/>
  <c r="B16" i="4" s="1"/>
  <c r="D15" i="4" s="1"/>
  <c r="B15" i="4"/>
  <c r="D14" i="4" s="1"/>
  <c r="B14" i="4"/>
  <c r="C14" i="4" s="1"/>
  <c r="C15" i="4" l="1"/>
  <c r="C16" i="4" s="1"/>
  <c r="F4" i="4"/>
  <c r="G15" i="4"/>
  <c r="F3" i="4"/>
  <c r="G2" i="4" s="1"/>
  <c r="B17" i="4" s="1"/>
  <c r="D16" i="4" s="1"/>
  <c r="I14" i="4" l="1"/>
  <c r="H15" i="4"/>
  <c r="G3" i="4"/>
  <c r="G16" i="4"/>
  <c r="I15" i="4" s="1"/>
  <c r="C17" i="4"/>
  <c r="G17" i="4" l="1"/>
  <c r="I16" i="4" s="1"/>
  <c r="H2" i="4"/>
  <c r="H16" i="4"/>
  <c r="D5" i="3"/>
  <c r="E4" i="3" s="1"/>
  <c r="D4" i="3"/>
  <c r="E3" i="3" s="1"/>
  <c r="D3" i="3"/>
  <c r="E2" i="3" s="1"/>
  <c r="D10" i="3" s="1"/>
  <c r="D2" i="3"/>
  <c r="D9" i="3" s="1"/>
  <c r="C9" i="2"/>
  <c r="D5" i="2"/>
  <c r="E4" i="2" s="1"/>
  <c r="F3" i="2" s="1"/>
  <c r="D4" i="2"/>
  <c r="E3" i="2"/>
  <c r="D3" i="2"/>
  <c r="D9" i="2" s="1"/>
  <c r="D2" i="2"/>
  <c r="H17" i="4" l="1"/>
  <c r="D15" i="3"/>
  <c r="F2" i="3"/>
  <c r="D11" i="3" s="1"/>
  <c r="F3" i="3"/>
  <c r="D14" i="3"/>
  <c r="C14" i="3"/>
  <c r="C15" i="3" s="1"/>
  <c r="C16" i="3" s="1"/>
  <c r="C9" i="3"/>
  <c r="C10" i="3" s="1"/>
  <c r="C11" i="3" s="1"/>
  <c r="C11" i="2"/>
  <c r="E10" i="2" s="1"/>
  <c r="C10" i="2"/>
  <c r="E9" i="2" s="1"/>
  <c r="E2" i="2"/>
  <c r="F2" i="2" s="1"/>
  <c r="G2" i="2" s="1"/>
  <c r="C12" i="2" s="1"/>
  <c r="E11" i="2" s="1"/>
  <c r="D16" i="3" l="1"/>
  <c r="G2" i="3"/>
  <c r="D10" i="2"/>
  <c r="D11" i="2" s="1"/>
  <c r="D12" i="2" s="1"/>
  <c r="K11" i="1" l="1"/>
  <c r="L11" i="1"/>
  <c r="K10" i="1"/>
  <c r="L10" i="1"/>
  <c r="K9" i="1"/>
  <c r="L9" i="1"/>
  <c r="L12" i="1"/>
  <c r="D10" i="1"/>
  <c r="E10" i="1"/>
  <c r="D9" i="1"/>
  <c r="E9" i="1"/>
  <c r="F5" i="1"/>
  <c r="G5" i="1"/>
  <c r="F4" i="1"/>
  <c r="G4" i="1"/>
  <c r="F3" i="1"/>
  <c r="G3" i="1"/>
  <c r="F2" i="1"/>
  <c r="G2" i="1"/>
  <c r="D4" i="1"/>
  <c r="E4" i="1"/>
  <c r="D3" i="1"/>
  <c r="E3" i="1"/>
  <c r="D2" i="1"/>
  <c r="E2" i="1"/>
  <c r="E12" i="1" l="1"/>
  <c r="E5" i="1"/>
  <c r="G6" i="1"/>
</calcChain>
</file>

<file path=xl/sharedStrings.xml><?xml version="1.0" encoding="utf-8"?>
<sst xmlns="http://schemas.openxmlformats.org/spreadsheetml/2006/main" count="80" uniqueCount="35">
  <si>
    <t>X</t>
  </si>
  <si>
    <t>F(X)</t>
  </si>
  <si>
    <t>Obtener (x)</t>
  </si>
  <si>
    <t>Cuadratico</t>
  </si>
  <si>
    <t>Cubico</t>
  </si>
  <si>
    <t>Lineal</t>
  </si>
  <si>
    <t xml:space="preserve">Coeficiente </t>
  </si>
  <si>
    <t>Coeficiente cuadratico</t>
  </si>
  <si>
    <t>Coeficiente cubico</t>
  </si>
  <si>
    <t>Coeficiente lineal</t>
  </si>
  <si>
    <t>i</t>
  </si>
  <si>
    <t>x</t>
  </si>
  <si>
    <t>f</t>
  </si>
  <si>
    <t>f1</t>
  </si>
  <si>
    <t>f2</t>
  </si>
  <si>
    <t>f3</t>
  </si>
  <si>
    <t>f4</t>
  </si>
  <si>
    <t>Pn</t>
  </si>
  <si>
    <t xml:space="preserve">Resultado </t>
  </si>
  <si>
    <t>Error</t>
  </si>
  <si>
    <t xml:space="preserve">Para </t>
  </si>
  <si>
    <t>n</t>
  </si>
  <si>
    <t>Pn(X)</t>
  </si>
  <si>
    <t>f(x)</t>
  </si>
  <si>
    <t>f5</t>
  </si>
  <si>
    <t>Para</t>
  </si>
  <si>
    <t>S</t>
  </si>
  <si>
    <t>Progresivo</t>
  </si>
  <si>
    <t>Regresivo</t>
  </si>
  <si>
    <t>F(x)</t>
  </si>
  <si>
    <t>F´(x)</t>
  </si>
  <si>
    <t>f6</t>
  </si>
  <si>
    <t>f7</t>
  </si>
  <si>
    <t>Coeficiente</t>
  </si>
  <si>
    <t>Resultado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</si>
</sst>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0000"/>
    <numFmt numFmtId="166" formatCode="0.00000000"/>
    <numFmt numFmtId="167" formatCode="0.0000000"/>
    <numFmt numFmtId="168" formatCode="0.000000"/>
  </numFmts>
  <fonts count="4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ptos"/>
      <family val="2"/>
    </font>
    <font>
      <sz val="11"/>
      <color rgb="FF444444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164" fontId="0" fillId="0" borderId="0" xfId="0" applyNumberFormat="1"/>
    <xf numFmtId="164" fontId="0" fillId="2" borderId="0" xfId="0" applyNumberFormat="1" applyFill="1"/>
    <xf numFmtId="0" fontId="0" fillId="2" borderId="0" xfId="0" applyFill="1"/>
    <xf numFmtId="164" fontId="0" fillId="0" borderId="0" xfId="0" applyNumberFormat="1" applyFill="1"/>
    <xf numFmtId="0" fontId="0" fillId="0" borderId="0" xfId="0" applyFill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165" fontId="1" fillId="0" borderId="5" xfId="0" applyNumberFormat="1" applyFont="1" applyBorder="1" applyAlignment="1">
      <alignment horizontal="center" vertical="center"/>
    </xf>
    <xf numFmtId="165" fontId="0" fillId="0" borderId="6" xfId="0" applyNumberFormat="1" applyBorder="1"/>
    <xf numFmtId="0" fontId="1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65" fontId="1" fillId="0" borderId="8" xfId="0" applyNumberFormat="1" applyFont="1" applyBorder="1" applyAlignment="1">
      <alignment horizontal="center" vertical="center"/>
    </xf>
    <xf numFmtId="165" fontId="0" fillId="0" borderId="9" xfId="0" applyNumberFormat="1" applyBorder="1"/>
    <xf numFmtId="165" fontId="0" fillId="0" borderId="0" xfId="0" applyNumberFormat="1"/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66" fontId="0" fillId="0" borderId="9" xfId="0" applyNumberForma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165" fontId="0" fillId="0" borderId="5" xfId="0" applyNumberFormat="1" applyBorder="1" applyAlignment="1">
      <alignment horizontal="center" vertical="center"/>
    </xf>
    <xf numFmtId="165" fontId="0" fillId="0" borderId="6" xfId="0" applyNumberForma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  <xf numFmtId="167" fontId="0" fillId="0" borderId="0" xfId="0" applyNumberFormat="1"/>
    <xf numFmtId="168" fontId="0" fillId="0" borderId="0" xfId="0" applyNumberFormat="1"/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</cellXfs>
  <cellStyles count="1">
    <cellStyle name="Normal" xfId="0" builtinId="0"/>
  </cellStyles>
  <dxfs count="55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44444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000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0.0000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7D6D00-41BD-4118-8EDE-40031EF84F3C}" name="Tabla14" displayName="Tabla14" ref="A1:G6" totalsRowShown="0" headerRowDxfId="54" headerRowBorderDxfId="52" tableBorderDxfId="53" totalsRowBorderDxfId="51">
  <autoFilter ref="A1:G6" xr:uid="{877D6D00-41BD-4118-8EDE-40031EF84F3C}"/>
  <tableColumns count="7">
    <tableColumn id="1" xr3:uid="{6636C35E-588C-49DA-B0E0-7FDAC896C481}" name="i" dataDxfId="50"/>
    <tableColumn id="2" xr3:uid="{2780F00D-89D0-4202-ABE3-471022BD5503}" name="x" dataDxfId="49"/>
    <tableColumn id="3" xr3:uid="{98390064-36F3-4110-82EB-C5D751D232FC}" name="f" dataDxfId="48"/>
    <tableColumn id="4" xr3:uid="{A220B53C-173E-4B5E-88A4-83C003A0EB6E}" name="f1" dataDxfId="47"/>
    <tableColumn id="5" xr3:uid="{3A808E39-6F7D-4D97-94D8-0A643D47CB1D}" name="f2" dataDxfId="46"/>
    <tableColumn id="6" xr3:uid="{A055191F-8FD4-43DF-BBC4-3526C93EBB29}" name="f3" dataDxfId="45"/>
    <tableColumn id="7" xr3:uid="{F90CABA1-50C2-47DC-8F26-BDFFF0A00BEF}" name="f4" dataDxfId="44"/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02BAF30-4E27-4E5A-9683-92F7B8A70D5F}" name="Tabla1" displayName="Tabla1" ref="A1:F6" totalsRowShown="0" headerRowDxfId="43" headerRowBorderDxfId="41" tableBorderDxfId="42" totalsRowBorderDxfId="40">
  <autoFilter ref="A1:F6" xr:uid="{802BAF30-4E27-4E5A-9683-92F7B8A70D5F}"/>
  <tableColumns count="6">
    <tableColumn id="1" xr3:uid="{9BE6CB3E-7624-4A82-91EA-79FA3949F7DC}" name="i" dataDxfId="39"/>
    <tableColumn id="2" xr3:uid="{87266C49-2951-41BF-BC73-5D54A1503C37}" name="x" dataDxfId="38"/>
    <tableColumn id="3" xr3:uid="{CA21CCA1-7432-4199-999B-6D9FC4672CD8}" name="f" dataDxfId="37"/>
    <tableColumn id="4" xr3:uid="{48DDE0AA-22C7-4A74-BD9B-14A902C89DB3}" name="f1" dataDxfId="36"/>
    <tableColumn id="5" xr3:uid="{4D6A671C-30C3-4262-9F48-27DBDAA1E30E}" name="f2" dataDxfId="35"/>
    <tableColumn id="6" xr3:uid="{AAF0D47C-9984-4072-8376-4351A69D2BC0}" name="f3" dataDxfId="34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0C5118E-8D21-4F3D-9CBF-7E8B4545A58C}" name="Tabla2" displayName="Tabla2" ref="B8:D11" totalsRowShown="0" headerRowDxfId="33" dataDxfId="32" headerRowBorderDxfId="30" tableBorderDxfId="31" totalsRowBorderDxfId="29">
  <autoFilter ref="B8:D11" xr:uid="{E0C5118E-8D21-4F3D-9CBF-7E8B4545A58C}"/>
  <tableColumns count="3">
    <tableColumn id="1" xr3:uid="{0322B5A4-9977-46A1-951F-D34640CF4B17}" name="n" dataDxfId="28"/>
    <tableColumn id="2" xr3:uid="{0D7B21C9-623E-4E15-B043-39DC9B2C6D8F}" name="Pn(X)" dataDxfId="27"/>
    <tableColumn id="3" xr3:uid="{F2E603E1-074D-4488-96E7-4A199BC8F439}" name="Error" dataDxfId="26"/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D0816BD-3E7B-4718-8F2F-DC7322AADD36}" name="Tabla26" displayName="Tabla26" ref="B13:D16" totalsRowShown="0" headerRowDxfId="25" dataDxfId="24" headerRowBorderDxfId="22" tableBorderDxfId="23" totalsRowBorderDxfId="21">
  <autoFilter ref="B13:D16" xr:uid="{2D0816BD-3E7B-4718-8F2F-DC7322AADD36}"/>
  <tableColumns count="3">
    <tableColumn id="1" xr3:uid="{DCF81775-1533-4E48-AFFC-70E778093F28}" name="n" dataDxfId="20"/>
    <tableColumn id="2" xr3:uid="{390B8B12-695C-4781-B53C-38B7B7D1A29A}" name="Pn(X)" dataDxfId="19"/>
    <tableColumn id="3" xr3:uid="{7B2AEEEB-B3E4-4132-9814-91FD2BA81685}" name="Error" dataDxfId="18"/>
  </tableColumns>
  <tableStyleInfo name="TableStyleMedium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CD0180B-6386-4339-9524-269E269F4D69}" name="Tabla16" displayName="Tabla16" ref="A1:H7" totalsRowShown="0" headerRowDxfId="17" dataDxfId="16" headerRowBorderDxfId="14" tableBorderDxfId="15" totalsRowBorderDxfId="13">
  <autoFilter ref="A1:H7" xr:uid="{CCD0180B-6386-4339-9524-269E269F4D69}"/>
  <tableColumns count="8">
    <tableColumn id="1" xr3:uid="{5A3F8161-57BD-4B6A-B205-2171502CE51E}" name="i" dataDxfId="12"/>
    <tableColumn id="2" xr3:uid="{2A9BFEC2-6662-4AC8-AD92-80DE0CE0FC88}" name="X" dataDxfId="11"/>
    <tableColumn id="3" xr3:uid="{934AA5C9-9340-4903-A626-3BB13B2DB106}" name="f(x)" dataDxfId="10"/>
    <tableColumn id="4" xr3:uid="{6405BE58-AA7C-4E84-9900-5855868AB7AC}" name="f1" dataDxfId="9"/>
    <tableColumn id="5" xr3:uid="{1D0CD30E-C5DE-4EC9-A84C-0A9386B1EA20}" name="f2" dataDxfId="8"/>
    <tableColumn id="6" xr3:uid="{61D0AD3B-2613-413C-B676-AB9AF061DF4C}" name="f3" dataDxfId="7"/>
    <tableColumn id="7" xr3:uid="{67E3D586-05C4-4DDC-9A6B-A4E731220DB0}" name="f4" dataDxfId="6"/>
    <tableColumn id="8" xr3:uid="{9FA1EA96-836D-4C8A-87DA-3A67B4A2DFF1}" name="f5" dataDxfId="5"/>
  </tableColumns>
  <tableStyleInfo name="TableStyleMedium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37E6296-50F3-43B0-AC59-2FB6A35F76F3}" name="Tabla17" displayName="Tabla17" ref="D12:F19" totalsRowShown="0" headerRowDxfId="4" dataDxfId="3">
  <autoFilter ref="D12:F19" xr:uid="{137E6296-50F3-43B0-AC59-2FB6A35F76F3}"/>
  <tableColumns count="3">
    <tableColumn id="1" xr3:uid="{04546224-1AD7-46C8-B6CB-4A04B295C250}" name="n" dataDxfId="2"/>
    <tableColumn id="2" xr3:uid="{A7E3B4C4-CC9E-42D6-8641-C7BB032E2855}" name="Coeficiente" dataDxfId="1"/>
    <tableColumn id="3" xr3:uid="{48709C2C-387B-4D4D-A90B-BCEFFE3E2FAF}" name="Pn" dataDxfId="0">
      <calculatedColumnFormula>F12+E13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00BD4-5573-43E0-8CC5-C7538C21FEB0}">
  <dimension ref="A1:L18"/>
  <sheetViews>
    <sheetView workbookViewId="0">
      <selection activeCell="D14" sqref="D14"/>
    </sheetView>
  </sheetViews>
  <sheetFormatPr baseColWidth="10" defaultRowHeight="15" x14ac:dyDescent="0.25"/>
  <cols>
    <col min="4" max="4" width="21.42578125" customWidth="1"/>
    <col min="6" max="6" width="17.7109375" customWidth="1"/>
    <col min="11" max="11" width="20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7</v>
      </c>
      <c r="E1" t="s">
        <v>3</v>
      </c>
      <c r="F1" t="s">
        <v>8</v>
      </c>
      <c r="G1" t="s">
        <v>4</v>
      </c>
    </row>
    <row r="2" spans="1:12" x14ac:dyDescent="0.25">
      <c r="A2">
        <v>25</v>
      </c>
      <c r="B2">
        <v>95</v>
      </c>
      <c r="C2">
        <v>31</v>
      </c>
      <c r="D2">
        <f>(((C2-A3)*(C2-A4))/((A2-A3)*(A2-A4)))</f>
        <v>0.45600000000000002</v>
      </c>
      <c r="E2" s="1">
        <f>(((C2-A3)*(C2-A4))/((A2-A3)*(A2-A4)))*(B2)</f>
        <v>43.32</v>
      </c>
      <c r="F2" s="1">
        <f>(((C2-A3)*(C2-A4)*(C2-A5))/((A2-A3)*(A2-A4)*(A2-A5)))</f>
        <v>0.3778285714285714</v>
      </c>
      <c r="G2" s="1">
        <f>(((C2-A3)*(C2-A4)*(C2-A5))/((A2-A3)*(A2-A4)*(A2-A5)))*(B2)</f>
        <v>35.893714285714282</v>
      </c>
    </row>
    <row r="3" spans="1:12" x14ac:dyDescent="0.25">
      <c r="A3">
        <v>40</v>
      </c>
      <c r="B3">
        <v>75</v>
      </c>
      <c r="D3">
        <f>(((C2-A2)*(C2-A4))/((A3-A2)*(A3-A4)))</f>
        <v>0.76</v>
      </c>
      <c r="E3" s="1">
        <f>(((C2-A2)*(C2-A4))/((A3-A2)*(A3-A4)))*(B3)</f>
        <v>57</v>
      </c>
      <c r="F3" s="1">
        <f>(((C2-A2)*(C2-A4)*(C2-A5))/((A3-A2)*(A3-A4)*(A3-A5)))</f>
        <v>1.1020000000000001</v>
      </c>
      <c r="G3" s="1">
        <f>(((C2-A2)*(C2-A4)*(C2-A5))/((A3-A2)*(A3-A4)*(A3-A5)))*(B3)</f>
        <v>82.65</v>
      </c>
    </row>
    <row r="4" spans="1:12" x14ac:dyDescent="0.25">
      <c r="A4">
        <v>50</v>
      </c>
      <c r="B4">
        <v>63</v>
      </c>
      <c r="D4">
        <f>(((C2-A2)*(C2-A3))/((A4-A2)*(A4-A3)))</f>
        <v>-0.216</v>
      </c>
      <c r="E4" s="1">
        <f>(((C2-A2)*(C2-A3))/((A4-A2)*(A4-A3)))*(B4)</f>
        <v>-13.608000000000001</v>
      </c>
      <c r="F4" s="1">
        <f>(((C2-A2)*(C2-A3)*(C2-A5))/((A4-A2)*(A4-A3)*(A4-A5)))</f>
        <v>-0.62639999999999996</v>
      </c>
      <c r="G4" s="1">
        <f>(((C2-A2)*(C2-A3)*(C2-A5))/((A4-A2)*(A4-A3)*(A4-A5)))*(B4)</f>
        <v>-39.463200000000001</v>
      </c>
    </row>
    <row r="5" spans="1:12" x14ac:dyDescent="0.25">
      <c r="A5">
        <v>60</v>
      </c>
      <c r="B5">
        <v>54</v>
      </c>
      <c r="E5" s="2">
        <f>E2+E3+E4</f>
        <v>86.711999999999989</v>
      </c>
      <c r="F5" s="4">
        <f>(((C2-A2)*(C2-A3)*(C2-A4))/((A5-A2)*(A5-A3)*(A5-A4)))</f>
        <v>0.14657142857142857</v>
      </c>
      <c r="G5" s="1">
        <f>(((C2-A2)*(C2-A3)*(C2-A4))/((A5-A2)*(A5-A3)*(A5-A4)))*(B5)</f>
        <v>7.9148571428571426</v>
      </c>
    </row>
    <row r="6" spans="1:12" x14ac:dyDescent="0.25">
      <c r="G6" s="2">
        <f>G2+G3+G4+G5</f>
        <v>86.995371428571431</v>
      </c>
    </row>
    <row r="8" spans="1:12" x14ac:dyDescent="0.25">
      <c r="A8" t="s">
        <v>0</v>
      </c>
      <c r="B8" t="s">
        <v>1</v>
      </c>
      <c r="C8" t="s">
        <v>2</v>
      </c>
      <c r="D8" t="s">
        <v>9</v>
      </c>
      <c r="E8" t="s">
        <v>5</v>
      </c>
      <c r="H8" t="s">
        <v>0</v>
      </c>
      <c r="I8" t="s">
        <v>1</v>
      </c>
      <c r="J8" t="s">
        <v>2</v>
      </c>
      <c r="K8" t="s">
        <v>7</v>
      </c>
      <c r="L8" t="s">
        <v>3</v>
      </c>
    </row>
    <row r="9" spans="1:12" x14ac:dyDescent="0.25">
      <c r="A9">
        <v>25</v>
      </c>
      <c r="B9">
        <v>95</v>
      </c>
      <c r="C9">
        <v>54</v>
      </c>
      <c r="D9">
        <f>((C9-A12)/(A11-A12))</f>
        <v>0.6</v>
      </c>
      <c r="E9">
        <f>((C9-A12)/(A11-A12))*(B11)</f>
        <v>37.799999999999997</v>
      </c>
      <c r="H9">
        <v>40</v>
      </c>
      <c r="I9">
        <v>75</v>
      </c>
      <c r="J9">
        <v>54</v>
      </c>
      <c r="K9">
        <f>(((J9-H10)*(J9-H11))/((H9-H10)*(H9-H11)))</f>
        <v>-0.12</v>
      </c>
      <c r="L9" s="1">
        <f>(((J9-H10)*(J9-H11))/((H9-H10)*(H9-H11)))*(I9)</f>
        <v>-9</v>
      </c>
    </row>
    <row r="10" spans="1:12" x14ac:dyDescent="0.25">
      <c r="A10">
        <v>40</v>
      </c>
      <c r="B10">
        <v>75</v>
      </c>
      <c r="D10">
        <f>((C9-A11)/(A12-A11))</f>
        <v>0.4</v>
      </c>
      <c r="E10">
        <f>((C9-A11)/(A12-A11))*(B12)</f>
        <v>21.6</v>
      </c>
      <c r="H10">
        <v>50</v>
      </c>
      <c r="I10">
        <v>63</v>
      </c>
      <c r="K10">
        <f>(((J9-H9)*(J9-H11))/((H10-H9)*(H10-H11)))</f>
        <v>0.84</v>
      </c>
      <c r="L10" s="1">
        <f>(((J9-H9)*(J9-H11))/((H10-H9)*(H10-H11)))*(I10)</f>
        <v>52.919999999999995</v>
      </c>
    </row>
    <row r="11" spans="1:12" x14ac:dyDescent="0.25">
      <c r="A11">
        <v>50</v>
      </c>
      <c r="B11">
        <v>63</v>
      </c>
      <c r="H11">
        <v>60</v>
      </c>
      <c r="I11">
        <v>54</v>
      </c>
      <c r="K11">
        <f>(((J9-H9)*(J9-H10))/((H11-H9)*(H11-H10)))</f>
        <v>0.28000000000000003</v>
      </c>
      <c r="L11" s="1">
        <f>(((J9-H9)*(J9-H10))/((H11-H9)*(H11-H10)))*(I11)</f>
        <v>15.120000000000001</v>
      </c>
    </row>
    <row r="12" spans="1:12" x14ac:dyDescent="0.25">
      <c r="A12">
        <v>60</v>
      </c>
      <c r="B12">
        <v>54</v>
      </c>
      <c r="E12" s="3">
        <f>E9+E10</f>
        <v>59.4</v>
      </c>
      <c r="F12" s="5"/>
      <c r="H12">
        <v>60</v>
      </c>
      <c r="I12">
        <v>54</v>
      </c>
      <c r="L12" s="2">
        <f>L9+L10+L11</f>
        <v>59.039999999999992</v>
      </c>
    </row>
    <row r="15" spans="1:12" x14ac:dyDescent="0.25">
      <c r="L15" s="1"/>
    </row>
    <row r="16" spans="1:12" x14ac:dyDescent="0.25">
      <c r="L16" s="1"/>
    </row>
    <row r="17" spans="12:12" x14ac:dyDescent="0.25">
      <c r="L17" s="1"/>
    </row>
    <row r="18" spans="12:12" x14ac:dyDescent="0.25">
      <c r="L1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2300B-A2D0-4B6B-B7C0-BB3ED42E10A4}">
  <dimension ref="A1:G12"/>
  <sheetViews>
    <sheetView workbookViewId="0">
      <selection activeCell="C10" sqref="C10"/>
    </sheetView>
  </sheetViews>
  <sheetFormatPr baseColWidth="10" defaultRowHeight="15" x14ac:dyDescent="0.25"/>
  <sheetData>
    <row r="1" spans="1:7" ht="15.75" x14ac:dyDescent="0.25">
      <c r="A1" s="6" t="s">
        <v>10</v>
      </c>
      <c r="B1" s="7" t="s">
        <v>11</v>
      </c>
      <c r="C1" s="7" t="s">
        <v>12</v>
      </c>
      <c r="D1" s="8" t="s">
        <v>13</v>
      </c>
      <c r="E1" s="8" t="s">
        <v>14</v>
      </c>
      <c r="F1" s="8" t="s">
        <v>15</v>
      </c>
      <c r="G1" s="9" t="s">
        <v>16</v>
      </c>
    </row>
    <row r="2" spans="1:7" ht="15.75" x14ac:dyDescent="0.25">
      <c r="A2" s="10">
        <v>0</v>
      </c>
      <c r="B2" s="11">
        <v>18</v>
      </c>
      <c r="C2" s="11">
        <v>103</v>
      </c>
      <c r="D2" s="12">
        <f>(C3-C2)/(B3-B2)</f>
        <v>-1.1428571428571428</v>
      </c>
      <c r="E2" s="12">
        <f>(D3-D2)/(B4-B2)</f>
        <v>-8.658008658008658E-3</v>
      </c>
      <c r="F2" s="12">
        <f>(E3-E2)/(B5-B2)</f>
        <v>1.6786916786916785E-3</v>
      </c>
      <c r="G2" s="13">
        <f>(F3-F2)/(B6-B2)</f>
        <v>-2.482924482924483E-4</v>
      </c>
    </row>
    <row r="3" spans="1:7" ht="15.75" x14ac:dyDescent="0.25">
      <c r="A3" s="10">
        <v>1</v>
      </c>
      <c r="B3" s="11">
        <v>25</v>
      </c>
      <c r="C3" s="11">
        <v>95</v>
      </c>
      <c r="D3" s="12">
        <f>(C4-C3)/(B4-B3)</f>
        <v>-1.3333333333333333</v>
      </c>
      <c r="E3" s="12">
        <f>(D4-D3)/(B5-B3)</f>
        <v>3.6666666666666667E-2</v>
      </c>
      <c r="F3" s="12">
        <f>(E4-E3)/(B6-B3)</f>
        <v>-6.2666666666666669E-3</v>
      </c>
      <c r="G3" s="13"/>
    </row>
    <row r="4" spans="1:7" ht="15.75" x14ac:dyDescent="0.25">
      <c r="A4" s="10">
        <v>2</v>
      </c>
      <c r="B4" s="11">
        <v>40</v>
      </c>
      <c r="C4" s="11">
        <v>75</v>
      </c>
      <c r="D4" s="12">
        <f>(C5-C4)/(B5-B4)</f>
        <v>-0.6</v>
      </c>
      <c r="E4" s="12">
        <f>(D5-D4)/(B6-B4)</f>
        <v>-0.12000000000000002</v>
      </c>
      <c r="F4" s="12"/>
      <c r="G4" s="13"/>
    </row>
    <row r="5" spans="1:7" ht="15.75" x14ac:dyDescent="0.25">
      <c r="A5" s="10">
        <v>3</v>
      </c>
      <c r="B5" s="11">
        <v>45</v>
      </c>
      <c r="C5" s="11">
        <v>72</v>
      </c>
      <c r="D5" s="12">
        <f>(C6-C5)/(B6-B5)</f>
        <v>-1.8</v>
      </c>
      <c r="E5" s="12"/>
      <c r="F5" s="12"/>
      <c r="G5" s="13"/>
    </row>
    <row r="6" spans="1:7" ht="15.75" x14ac:dyDescent="0.25">
      <c r="A6" s="14">
        <v>4</v>
      </c>
      <c r="B6" s="15">
        <v>50</v>
      </c>
      <c r="C6" s="15">
        <v>63</v>
      </c>
      <c r="D6" s="16"/>
      <c r="E6" s="16"/>
      <c r="F6" s="16"/>
      <c r="G6" s="17"/>
    </row>
    <row r="8" spans="1:7" x14ac:dyDescent="0.25">
      <c r="A8">
        <v>38</v>
      </c>
      <c r="B8" t="s">
        <v>17</v>
      </c>
      <c r="C8" t="s">
        <v>6</v>
      </c>
      <c r="D8" t="s">
        <v>18</v>
      </c>
      <c r="E8" t="s">
        <v>19</v>
      </c>
    </row>
    <row r="9" spans="1:7" x14ac:dyDescent="0.25">
      <c r="B9">
        <v>1</v>
      </c>
      <c r="C9" s="18">
        <f>C3+((D3)*(A8-B3))</f>
        <v>77.666666666666671</v>
      </c>
      <c r="D9" s="18">
        <f>C9</f>
        <v>77.666666666666671</v>
      </c>
      <c r="E9" s="18">
        <f>C10</f>
        <v>-0.95333333333333337</v>
      </c>
    </row>
    <row r="10" spans="1:7" x14ac:dyDescent="0.25">
      <c r="B10">
        <v>2</v>
      </c>
      <c r="C10" s="18">
        <f>E3*((A8-B3)*(A8-B4))</f>
        <v>-0.95333333333333337</v>
      </c>
      <c r="D10" s="18">
        <f>D9+C10</f>
        <v>76.713333333333338</v>
      </c>
      <c r="E10" s="18">
        <f>C11</f>
        <v>-1.1405333333333334</v>
      </c>
    </row>
    <row r="11" spans="1:7" x14ac:dyDescent="0.25">
      <c r="B11">
        <v>3</v>
      </c>
      <c r="C11" s="18">
        <f>F3*((A8-B3)*(A8-B4)*(A8-B5))</f>
        <v>-1.1405333333333334</v>
      </c>
      <c r="D11" s="18">
        <f>D10+C11</f>
        <v>75.572800000000001</v>
      </c>
      <c r="E11" s="18">
        <f>C12</f>
        <v>-0.9037845117845118</v>
      </c>
    </row>
    <row r="12" spans="1:7" x14ac:dyDescent="0.25">
      <c r="B12">
        <v>4</v>
      </c>
      <c r="C12" s="18">
        <f>G2*((A8-B2)*(A8-B3)*(A8-B4)*(A8-B5))</f>
        <v>-0.9037845117845118</v>
      </c>
      <c r="D12" s="18">
        <f>D11+C12</f>
        <v>74.669015488215493</v>
      </c>
      <c r="E12" s="18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30302-00F4-4987-8092-AD08AB2F98C0}">
  <dimension ref="A1:G16"/>
  <sheetViews>
    <sheetView workbookViewId="0">
      <selection activeCell="I8" sqref="I8"/>
    </sheetView>
  </sheetViews>
  <sheetFormatPr baseColWidth="10" defaultRowHeight="15" x14ac:dyDescent="0.25"/>
  <sheetData>
    <row r="1" spans="1:7" ht="15.75" x14ac:dyDescent="0.25">
      <c r="A1" s="6" t="s">
        <v>10</v>
      </c>
      <c r="B1" s="7" t="s">
        <v>11</v>
      </c>
      <c r="C1" s="7" t="s">
        <v>12</v>
      </c>
      <c r="D1" s="8" t="s">
        <v>13</v>
      </c>
      <c r="E1" s="8" t="s">
        <v>14</v>
      </c>
      <c r="F1" s="9" t="s">
        <v>15</v>
      </c>
      <c r="G1" t="s">
        <v>16</v>
      </c>
    </row>
    <row r="2" spans="1:7" ht="15.75" x14ac:dyDescent="0.25">
      <c r="A2" s="10">
        <v>0</v>
      </c>
      <c r="B2" s="11">
        <v>2016</v>
      </c>
      <c r="C2" s="11">
        <v>14.026</v>
      </c>
      <c r="D2" s="19">
        <f>(C3-C2)/(B3-B2)</f>
        <v>1.7300000000000004</v>
      </c>
      <c r="E2" s="19">
        <f>(D3-D2)/(B4-B2)</f>
        <v>-0.59733333333333383</v>
      </c>
      <c r="F2" s="20">
        <f>(E3-E2)/(B5-B2)</f>
        <v>-0.73004166666666637</v>
      </c>
      <c r="G2">
        <f>(F3-F2)/(B6-B2)</f>
        <v>0.35018749999999987</v>
      </c>
    </row>
    <row r="3" spans="1:7" ht="15.75" x14ac:dyDescent="0.25">
      <c r="A3" s="10">
        <v>1</v>
      </c>
      <c r="B3" s="11">
        <v>2018</v>
      </c>
      <c r="C3" s="11">
        <v>17.486000000000001</v>
      </c>
      <c r="D3" s="19">
        <f>(C4-C3)/(B4-B3)</f>
        <v>-6.2000000000001165E-2</v>
      </c>
      <c r="E3" s="19">
        <f>(D4-D3)/(B5-B3)</f>
        <v>-3.5174999999999992</v>
      </c>
      <c r="F3" s="20">
        <f>(E4-E3)/(B6-B3)</f>
        <v>1.371083333333333</v>
      </c>
    </row>
    <row r="4" spans="1:7" ht="15.75" x14ac:dyDescent="0.25">
      <c r="A4" s="10">
        <v>2</v>
      </c>
      <c r="B4" s="11">
        <v>2019</v>
      </c>
      <c r="C4" s="11">
        <v>17.423999999999999</v>
      </c>
      <c r="D4" s="19">
        <f>(C5-C4)/(B5-B4)</f>
        <v>-7.0969999999999995</v>
      </c>
      <c r="E4" s="19">
        <f>(D5-D4)/(B6-B4)</f>
        <v>1.966833333333333</v>
      </c>
      <c r="F4" s="20"/>
    </row>
    <row r="5" spans="1:7" ht="15.75" x14ac:dyDescent="0.25">
      <c r="A5" s="10">
        <v>3</v>
      </c>
      <c r="B5" s="11">
        <v>2020</v>
      </c>
      <c r="C5" s="11">
        <v>10.327</v>
      </c>
      <c r="D5" s="19">
        <f>(C6-C5)/(B6-B5)</f>
        <v>-1.1964999999999999</v>
      </c>
      <c r="E5" s="19"/>
      <c r="F5" s="20"/>
    </row>
    <row r="6" spans="1:7" ht="15.75" x14ac:dyDescent="0.25">
      <c r="A6" s="14">
        <v>4</v>
      </c>
      <c r="B6" s="15">
        <v>2022</v>
      </c>
      <c r="C6" s="15">
        <v>7.9340000000000002</v>
      </c>
      <c r="D6" s="21"/>
      <c r="E6" s="21"/>
      <c r="F6" s="22"/>
    </row>
    <row r="8" spans="1:7" x14ac:dyDescent="0.25">
      <c r="A8" t="s">
        <v>20</v>
      </c>
      <c r="B8" s="23" t="s">
        <v>21</v>
      </c>
      <c r="C8" s="24" t="s">
        <v>22</v>
      </c>
      <c r="D8" s="25" t="s">
        <v>19</v>
      </c>
    </row>
    <row r="9" spans="1:7" x14ac:dyDescent="0.25">
      <c r="A9">
        <v>2017</v>
      </c>
      <c r="B9" s="26">
        <v>1</v>
      </c>
      <c r="C9" s="27">
        <f>C2+(D2*(A9-B2))</f>
        <v>15.756</v>
      </c>
      <c r="D9" s="28">
        <f>ABS(D2*($A$9-$B$2))</f>
        <v>1.7300000000000004</v>
      </c>
    </row>
    <row r="10" spans="1:7" x14ac:dyDescent="0.25">
      <c r="B10" s="26">
        <v>2</v>
      </c>
      <c r="C10" s="27">
        <f>C9+(E2*((A9-B2)*(A9-B3)))</f>
        <v>16.353333333333335</v>
      </c>
      <c r="D10" s="28">
        <f>ABS(E2*(($A$9-$B$2)*($A$9-$B$3)))</f>
        <v>0.59733333333333383</v>
      </c>
    </row>
    <row r="11" spans="1:7" x14ac:dyDescent="0.25">
      <c r="B11" s="29">
        <v>3</v>
      </c>
      <c r="C11" s="30">
        <f>C10+(F2*((A9-B2)*(A9-B3)*(A9-B4)))</f>
        <v>14.893250000000002</v>
      </c>
      <c r="D11" s="31">
        <f>ABS(F2*(($A$9-$B$2)*($A$9-$B$3)*($A$9-$B$4)))</f>
        <v>1.4600833333333327</v>
      </c>
    </row>
    <row r="13" spans="1:7" x14ac:dyDescent="0.25">
      <c r="A13" t="s">
        <v>20</v>
      </c>
      <c r="B13" s="23" t="s">
        <v>21</v>
      </c>
      <c r="C13" s="24" t="s">
        <v>22</v>
      </c>
      <c r="D13" s="25" t="s">
        <v>19</v>
      </c>
    </row>
    <row r="14" spans="1:7" x14ac:dyDescent="0.25">
      <c r="A14">
        <v>2021</v>
      </c>
      <c r="B14" s="26">
        <v>1</v>
      </c>
      <c r="C14" s="27">
        <f>C3+(D3*(A14-B3))</f>
        <v>17.299999999999997</v>
      </c>
      <c r="D14" s="28">
        <f>ABS(D3*($A$14-$B$3))</f>
        <v>0.1860000000000035</v>
      </c>
    </row>
    <row r="15" spans="1:7" x14ac:dyDescent="0.25">
      <c r="B15" s="26">
        <v>2</v>
      </c>
      <c r="C15" s="27">
        <f>C14+(E3*((A14-B3)*(A14-B4)))</f>
        <v>-3.8049999999999997</v>
      </c>
      <c r="D15" s="28">
        <f>ABS(E3*(($A$14-$B$3)*($A$14-$B$4)))</f>
        <v>21.104999999999997</v>
      </c>
    </row>
    <row r="16" spans="1:7" x14ac:dyDescent="0.25">
      <c r="B16" s="29">
        <v>3</v>
      </c>
      <c r="C16" s="30">
        <f>C15+(F3*((A14-B3)*(A14-B4)*(A14-B5)))</f>
        <v>4.4214999999999982</v>
      </c>
      <c r="D16" s="31">
        <f>ABS(F3*(($A$14-$B$3)*($A$14-$B$4)*($A$14-$B$5)))</f>
        <v>8.2264999999999979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58870-6293-4317-8CC5-F2DBF3E0C4DA}">
  <dimension ref="A1:I17"/>
  <sheetViews>
    <sheetView workbookViewId="0">
      <selection activeCell="K12" sqref="K12"/>
    </sheetView>
  </sheetViews>
  <sheetFormatPr baseColWidth="10" defaultRowHeight="15" x14ac:dyDescent="0.25"/>
  <sheetData>
    <row r="1" spans="1:9" x14ac:dyDescent="0.25">
      <c r="A1" s="23" t="s">
        <v>10</v>
      </c>
      <c r="B1" s="24" t="s">
        <v>0</v>
      </c>
      <c r="C1" s="24" t="s">
        <v>23</v>
      </c>
      <c r="D1" s="24" t="s">
        <v>13</v>
      </c>
      <c r="E1" s="24" t="s">
        <v>14</v>
      </c>
      <c r="F1" s="24" t="s">
        <v>15</v>
      </c>
      <c r="G1" s="24" t="s">
        <v>16</v>
      </c>
      <c r="H1" s="25" t="s">
        <v>24</v>
      </c>
    </row>
    <row r="2" spans="1:9" x14ac:dyDescent="0.25">
      <c r="A2" s="26">
        <v>0</v>
      </c>
      <c r="B2" s="27">
        <v>0.125</v>
      </c>
      <c r="C2" s="32">
        <v>0.79168000000000005</v>
      </c>
      <c r="D2" s="33">
        <f>C3-C2</f>
        <v>-1.8340000000000023E-2</v>
      </c>
      <c r="E2" s="33">
        <f>D3-D2</f>
        <v>-1.1290000000000022E-2</v>
      </c>
      <c r="F2" s="33">
        <f>E3-E2</f>
        <v>1.3400000000001189E-3</v>
      </c>
      <c r="G2" s="33">
        <f>F3-F2</f>
        <v>3.799999999997139E-4</v>
      </c>
      <c r="H2" s="34">
        <f>G3-G2</f>
        <v>-9.9999999999433875E-5</v>
      </c>
    </row>
    <row r="3" spans="1:9" x14ac:dyDescent="0.25">
      <c r="A3" s="26">
        <v>1</v>
      </c>
      <c r="B3" s="27">
        <v>0.25</v>
      </c>
      <c r="C3" s="32">
        <v>0.77334000000000003</v>
      </c>
      <c r="D3" s="33">
        <f t="shared" ref="D3:F5" si="0">C4-C3</f>
        <v>-2.9630000000000045E-2</v>
      </c>
      <c r="E3" s="33">
        <f t="shared" si="0"/>
        <v>-9.9499999999999034E-3</v>
      </c>
      <c r="F3" s="33">
        <f t="shared" si="0"/>
        <v>1.7199999999998328E-3</v>
      </c>
      <c r="G3" s="33">
        <f>F4-F3</f>
        <v>2.8000000000028002E-4</v>
      </c>
      <c r="H3" s="34"/>
    </row>
    <row r="4" spans="1:9" x14ac:dyDescent="0.25">
      <c r="A4" s="26">
        <v>2</v>
      </c>
      <c r="B4" s="27">
        <v>0.375</v>
      </c>
      <c r="C4" s="32">
        <v>0.74370999999999998</v>
      </c>
      <c r="D4" s="33">
        <f t="shared" si="0"/>
        <v>-3.9579999999999949E-2</v>
      </c>
      <c r="E4" s="33">
        <f t="shared" si="0"/>
        <v>-8.2300000000000706E-3</v>
      </c>
      <c r="F4" s="33">
        <f t="shared" si="0"/>
        <v>2.0000000000001128E-3</v>
      </c>
      <c r="G4" s="33"/>
      <c r="H4" s="34"/>
    </row>
    <row r="5" spans="1:9" x14ac:dyDescent="0.25">
      <c r="A5" s="26">
        <v>3</v>
      </c>
      <c r="B5" s="27">
        <v>0.5</v>
      </c>
      <c r="C5" s="32">
        <v>0.70413000000000003</v>
      </c>
      <c r="D5" s="33">
        <f t="shared" si="0"/>
        <v>-4.7810000000000019E-2</v>
      </c>
      <c r="E5" s="33">
        <f>D6-D5</f>
        <v>-6.2299999999999578E-3</v>
      </c>
      <c r="F5" s="33"/>
      <c r="G5" s="33"/>
      <c r="H5" s="34"/>
    </row>
    <row r="6" spans="1:9" x14ac:dyDescent="0.25">
      <c r="A6" s="26">
        <v>4</v>
      </c>
      <c r="B6" s="27">
        <v>0.625</v>
      </c>
      <c r="C6" s="32">
        <v>0.65632000000000001</v>
      </c>
      <c r="D6" s="33">
        <f>C7-C6</f>
        <v>-5.4039999999999977E-2</v>
      </c>
      <c r="E6" s="33"/>
      <c r="F6" s="33"/>
      <c r="G6" s="33"/>
      <c r="H6" s="34"/>
    </row>
    <row r="7" spans="1:9" x14ac:dyDescent="0.25">
      <c r="A7" s="29">
        <v>5</v>
      </c>
      <c r="B7" s="30">
        <v>0.75</v>
      </c>
      <c r="C7" s="35">
        <v>0.60228000000000004</v>
      </c>
      <c r="D7" s="30"/>
      <c r="E7" s="30"/>
      <c r="F7" s="30"/>
      <c r="G7" s="30"/>
      <c r="H7" s="36"/>
    </row>
    <row r="9" spans="1:9" x14ac:dyDescent="0.25">
      <c r="A9" t="s">
        <v>25</v>
      </c>
      <c r="B9">
        <v>0.18</v>
      </c>
      <c r="F9" t="s">
        <v>25</v>
      </c>
      <c r="G9">
        <v>0.65</v>
      </c>
    </row>
    <row r="10" spans="1:9" x14ac:dyDescent="0.25">
      <c r="A10" t="s">
        <v>26</v>
      </c>
      <c r="B10">
        <f>(B9-B2)/0.125</f>
        <v>0.43999999999999995</v>
      </c>
      <c r="F10" t="s">
        <v>26</v>
      </c>
      <c r="G10">
        <f>(G9-B7)/0.125</f>
        <v>-0.79999999999999982</v>
      </c>
    </row>
    <row r="12" spans="1:9" x14ac:dyDescent="0.25">
      <c r="A12" s="37" t="s">
        <v>27</v>
      </c>
      <c r="B12" s="37"/>
      <c r="C12" s="37"/>
      <c r="D12" s="37"/>
      <c r="F12" s="37" t="s">
        <v>28</v>
      </c>
      <c r="G12" s="37"/>
      <c r="H12" s="37"/>
      <c r="I12" s="37"/>
    </row>
    <row r="13" spans="1:9" x14ac:dyDescent="0.25">
      <c r="A13" t="s">
        <v>21</v>
      </c>
      <c r="B13" t="s">
        <v>6</v>
      </c>
      <c r="C13" t="s">
        <v>17</v>
      </c>
      <c r="D13" t="s">
        <v>19</v>
      </c>
      <c r="F13" t="s">
        <v>21</v>
      </c>
      <c r="G13" t="s">
        <v>6</v>
      </c>
      <c r="H13" t="s">
        <v>17</v>
      </c>
      <c r="I13" t="s">
        <v>19</v>
      </c>
    </row>
    <row r="14" spans="1:9" x14ac:dyDescent="0.25">
      <c r="A14">
        <v>1</v>
      </c>
      <c r="B14">
        <f>C2+((B10*D2))</f>
        <v>0.78361040000000004</v>
      </c>
      <c r="C14" s="38">
        <f>B14</f>
        <v>0.78361040000000004</v>
      </c>
      <c r="D14">
        <f>B15</f>
        <v>1.3909280000000026E-3</v>
      </c>
      <c r="F14">
        <v>1</v>
      </c>
      <c r="G14">
        <f>C7+(G10*D6)</f>
        <v>0.64551199999999997</v>
      </c>
      <c r="H14" s="38">
        <f>G14</f>
        <v>0.64551199999999997</v>
      </c>
      <c r="I14">
        <f>G15</f>
        <v>4.9839999999999694E-4</v>
      </c>
    </row>
    <row r="15" spans="1:9" x14ac:dyDescent="0.25">
      <c r="A15">
        <v>2</v>
      </c>
      <c r="B15">
        <f>B10*(B10-1)*((E2)/FACT(2))</f>
        <v>1.3909280000000026E-3</v>
      </c>
      <c r="C15" s="38">
        <f>C14+B15</f>
        <v>0.785001328</v>
      </c>
      <c r="D15">
        <f t="shared" ref="D15:D16" si="1">B16</f>
        <v>8.5845760000007618E-5</v>
      </c>
      <c r="F15">
        <v>2</v>
      </c>
      <c r="G15">
        <f>G10*(G10+1)*((E5)/FACT(2))</f>
        <v>4.9839999999999694E-4</v>
      </c>
      <c r="H15" s="38">
        <f>H14+G15</f>
        <v>0.64601039999999998</v>
      </c>
      <c r="I15">
        <f t="shared" ref="I15:I16" si="2">G16</f>
        <v>-6.400000000000367E-5</v>
      </c>
    </row>
    <row r="16" spans="1:9" x14ac:dyDescent="0.25">
      <c r="A16">
        <v>3</v>
      </c>
      <c r="B16">
        <f>B10*(B10-1)*(B10-2)*((F2)/FACT(3))</f>
        <v>8.5845760000007618E-5</v>
      </c>
      <c r="C16" s="39">
        <f>C15+B16</f>
        <v>0.78508717376000003</v>
      </c>
      <c r="D16" s="39">
        <f t="shared" si="1"/>
        <v>-1.5580364799988272E-5</v>
      </c>
      <c r="F16">
        <v>3</v>
      </c>
      <c r="G16">
        <f>G10*(G10+1)*(G10+2)*(F4/FACT(3))</f>
        <v>-6.400000000000367E-5</v>
      </c>
      <c r="H16" s="39">
        <f>H15+G16</f>
        <v>0.64594640000000003</v>
      </c>
      <c r="I16" s="39">
        <f t="shared" si="2"/>
        <v>-4.9280000000049332E-6</v>
      </c>
    </row>
    <row r="17" spans="1:8" x14ac:dyDescent="0.25">
      <c r="A17">
        <v>4</v>
      </c>
      <c r="B17">
        <f>B10*(B10-1)*(B10-2)*(B10-3)*((G2)/FACT(4))</f>
        <v>-1.5580364799988272E-5</v>
      </c>
      <c r="C17" s="39">
        <f>C16+B17</f>
        <v>0.78507159339520005</v>
      </c>
      <c r="F17">
        <v>4</v>
      </c>
      <c r="G17">
        <f>G10*(G10+1)*(G10+2)*(G10+3)*(G3/FACT(4))</f>
        <v>-4.9280000000049332E-6</v>
      </c>
      <c r="H17" s="38">
        <f>H16+G17</f>
        <v>0.64594147200000007</v>
      </c>
    </row>
  </sheetData>
  <mergeCells count="2">
    <mergeCell ref="A12:D12"/>
    <mergeCell ref="F12:I1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33FB1-A7F9-44A4-AAC2-315AC30473DF}">
  <dimension ref="A1:J19"/>
  <sheetViews>
    <sheetView tabSelected="1" workbookViewId="0">
      <selection activeCell="H20" sqref="H20"/>
    </sheetView>
  </sheetViews>
  <sheetFormatPr baseColWidth="10" defaultRowHeight="15" x14ac:dyDescent="0.25"/>
  <sheetData>
    <row r="1" spans="1:10" x14ac:dyDescent="0.25">
      <c r="A1" s="40" t="s">
        <v>10</v>
      </c>
      <c r="B1" s="40" t="s">
        <v>0</v>
      </c>
      <c r="C1" s="40" t="s">
        <v>29</v>
      </c>
      <c r="D1" s="40" t="s">
        <v>30</v>
      </c>
      <c r="E1" s="40" t="s">
        <v>14</v>
      </c>
      <c r="F1" s="40" t="s">
        <v>15</v>
      </c>
      <c r="G1" s="40" t="s">
        <v>16</v>
      </c>
      <c r="H1" s="40" t="s">
        <v>24</v>
      </c>
      <c r="I1" s="40" t="s">
        <v>31</v>
      </c>
      <c r="J1" s="40" t="s">
        <v>32</v>
      </c>
    </row>
    <row r="2" spans="1:10" x14ac:dyDescent="0.25">
      <c r="A2" s="40">
        <v>0</v>
      </c>
      <c r="B2" s="41">
        <v>3</v>
      </c>
      <c r="C2" s="41">
        <v>225</v>
      </c>
      <c r="D2" s="41">
        <v>77</v>
      </c>
      <c r="E2" s="40">
        <f t="shared" ref="E2:E7" si="0">(D3-D2)/(B4-B2)</f>
        <v>1</v>
      </c>
      <c r="F2" s="40">
        <f>(E3-E2)/(B5-B2)</f>
        <v>-0.25</v>
      </c>
      <c r="G2" s="40">
        <f>(F3-F2)/(B6-B2)</f>
        <v>3.8888888888888952E-2</v>
      </c>
      <c r="H2" s="40">
        <f>(G3-G2)/(B7-B2)</f>
        <v>-3.8148148148148209E-2</v>
      </c>
      <c r="I2" s="40">
        <f>(H3-H2)/(B8-B2)</f>
        <v>6.6865740740740835E-3</v>
      </c>
      <c r="J2" s="40">
        <f>(I3-I2)/(B9-B2)</f>
        <v>-1.1743287037037052E-3</v>
      </c>
    </row>
    <row r="3" spans="1:10" x14ac:dyDescent="0.25">
      <c r="A3" s="40">
        <v>1</v>
      </c>
      <c r="B3" s="41">
        <v>3</v>
      </c>
      <c r="C3" s="41">
        <v>225</v>
      </c>
      <c r="D3" s="40">
        <f>(C4-C3)/(B4-B3)</f>
        <v>79</v>
      </c>
      <c r="E3" s="40">
        <f t="shared" si="0"/>
        <v>0.5</v>
      </c>
      <c r="F3" s="40">
        <f>(E4-E3)/(B6-B3)</f>
        <v>-5.5555555555555247E-2</v>
      </c>
      <c r="G3" s="40">
        <f>(F4-F3)/(B7-B3)</f>
        <v>-0.1518518518518521</v>
      </c>
      <c r="H3" s="40">
        <f>(G4-G3)/(B8-B3)</f>
        <v>2.8717592592592635E-2</v>
      </c>
      <c r="I3" s="40">
        <f>(H4-H3)/(B9-B3)</f>
        <v>-5.0567129629629686E-3</v>
      </c>
      <c r="J3" s="40"/>
    </row>
    <row r="4" spans="1:10" x14ac:dyDescent="0.25">
      <c r="A4" s="40">
        <v>2</v>
      </c>
      <c r="B4" s="42">
        <v>5</v>
      </c>
      <c r="C4" s="42">
        <v>383</v>
      </c>
      <c r="D4" s="42">
        <v>80</v>
      </c>
      <c r="E4" s="40">
        <f t="shared" si="0"/>
        <v>0.22222222222222379</v>
      </c>
      <c r="F4" s="40">
        <f>(E5-E4)/(B7-B4)</f>
        <v>-0.81481481481481577</v>
      </c>
      <c r="G4" s="40">
        <f>(F5-F4)/(B8-B4)</f>
        <v>0.13532407407407421</v>
      </c>
      <c r="H4" s="40">
        <f>(G5-G4)/(B9-B4)</f>
        <v>-2.1849537037037049E-2</v>
      </c>
      <c r="I4" s="40"/>
      <c r="J4" s="40"/>
    </row>
    <row r="5" spans="1:10" x14ac:dyDescent="0.25">
      <c r="A5" s="40">
        <v>3</v>
      </c>
      <c r="B5" s="42">
        <v>5</v>
      </c>
      <c r="C5" s="42">
        <v>383</v>
      </c>
      <c r="D5" s="40">
        <f>(C6-C5)/(B6-B5)</f>
        <v>80.666666666666671</v>
      </c>
      <c r="E5" s="40">
        <f t="shared" si="0"/>
        <v>-2.2222222222222237</v>
      </c>
      <c r="F5" s="40">
        <f>(E6-E5)/(B8-B5)</f>
        <v>0.26777777777777784</v>
      </c>
      <c r="G5" s="40">
        <f>(F6-F5)/(B9-B5)</f>
        <v>-3.9472222222222172E-2</v>
      </c>
      <c r="H5" s="40"/>
      <c r="I5" s="40"/>
      <c r="J5" s="40"/>
    </row>
    <row r="6" spans="1:10" x14ac:dyDescent="0.25">
      <c r="A6" s="40">
        <v>4</v>
      </c>
      <c r="B6" s="43">
        <v>8</v>
      </c>
      <c r="C6" s="43">
        <v>625</v>
      </c>
      <c r="D6" s="43">
        <v>74</v>
      </c>
      <c r="E6" s="40">
        <f t="shared" si="0"/>
        <v>-8.000000000000114E-2</v>
      </c>
      <c r="F6" s="40">
        <f>(E7-E6)/(B9-B6)</f>
        <v>-4.7999999999999543E-2</v>
      </c>
      <c r="G6" s="40"/>
      <c r="H6" s="40"/>
      <c r="I6" s="40"/>
      <c r="J6" s="40"/>
    </row>
    <row r="7" spans="1:10" x14ac:dyDescent="0.25">
      <c r="A7" s="40">
        <v>5</v>
      </c>
      <c r="B7" s="43">
        <v>8</v>
      </c>
      <c r="C7" s="43">
        <v>625</v>
      </c>
      <c r="D7" s="40">
        <f>(C8-C7)/(B8-B7)</f>
        <v>73.599999999999994</v>
      </c>
      <c r="E7" s="40">
        <f t="shared" si="0"/>
        <v>-0.31999999999999884</v>
      </c>
      <c r="F7" s="40"/>
      <c r="G7" s="40"/>
      <c r="H7" s="40"/>
      <c r="I7" s="40"/>
      <c r="J7" s="40"/>
    </row>
    <row r="8" spans="1:10" x14ac:dyDescent="0.25">
      <c r="A8" s="40">
        <v>6</v>
      </c>
      <c r="B8" s="44">
        <v>13</v>
      </c>
      <c r="C8" s="44">
        <v>993</v>
      </c>
      <c r="D8" s="44">
        <v>72</v>
      </c>
      <c r="E8" s="40"/>
      <c r="F8" s="40"/>
      <c r="G8" s="40"/>
      <c r="H8" s="40"/>
      <c r="I8" s="40"/>
      <c r="J8" s="40"/>
    </row>
    <row r="9" spans="1:10" x14ac:dyDescent="0.25">
      <c r="A9" s="40">
        <v>7</v>
      </c>
      <c r="B9" s="44">
        <v>13</v>
      </c>
      <c r="C9" s="44">
        <v>993</v>
      </c>
      <c r="D9" s="40"/>
      <c r="E9" s="40"/>
      <c r="F9" s="40"/>
      <c r="G9" s="40"/>
      <c r="H9" s="40"/>
      <c r="I9" s="40"/>
      <c r="J9" s="40"/>
    </row>
    <row r="12" spans="1:10" x14ac:dyDescent="0.25">
      <c r="A12" t="s">
        <v>20</v>
      </c>
      <c r="B12">
        <v>4</v>
      </c>
      <c r="D12" s="40" t="s">
        <v>21</v>
      </c>
      <c r="E12" s="40" t="s">
        <v>33</v>
      </c>
      <c r="F12" s="40" t="s">
        <v>17</v>
      </c>
    </row>
    <row r="13" spans="1:10" x14ac:dyDescent="0.25">
      <c r="D13" s="40">
        <v>1</v>
      </c>
      <c r="E13" s="40">
        <f>C2+(D2*(B12-B2))</f>
        <v>302</v>
      </c>
      <c r="F13" s="40">
        <f>E13</f>
        <v>302</v>
      </c>
    </row>
    <row r="14" spans="1:10" x14ac:dyDescent="0.25">
      <c r="D14" s="40">
        <v>2</v>
      </c>
      <c r="E14" s="40">
        <f>E2*((B12-B3)^2)</f>
        <v>1</v>
      </c>
      <c r="F14" s="40">
        <f>F13+E14</f>
        <v>303</v>
      </c>
    </row>
    <row r="15" spans="1:10" x14ac:dyDescent="0.25">
      <c r="D15" s="40">
        <v>3</v>
      </c>
      <c r="E15" s="40">
        <f>F2*(((B12-B3)^2)*(B12-B4))</f>
        <v>0.25</v>
      </c>
      <c r="F15" s="40">
        <f>F14+E15</f>
        <v>303.25</v>
      </c>
    </row>
    <row r="16" spans="1:10" x14ac:dyDescent="0.25">
      <c r="D16" s="40">
        <v>4</v>
      </c>
      <c r="E16" s="40">
        <f>G2*(((B12-B2)^2)*((B12-B4)^2))</f>
        <v>3.8888888888888952E-2</v>
      </c>
      <c r="F16" s="40">
        <f t="shared" ref="F16:F17" si="1">F15+E16</f>
        <v>303.28888888888889</v>
      </c>
    </row>
    <row r="17" spans="4:7" x14ac:dyDescent="0.25">
      <c r="D17" s="40">
        <v>5</v>
      </c>
      <c r="E17" s="40">
        <f>H2*(((B12-B2)^2)*((B12-B4)^2)*(B12-B6))</f>
        <v>0.15259259259259284</v>
      </c>
      <c r="F17" s="40">
        <f t="shared" si="1"/>
        <v>303.4414814814815</v>
      </c>
    </row>
    <row r="18" spans="4:7" x14ac:dyDescent="0.25">
      <c r="D18" s="40">
        <v>6</v>
      </c>
      <c r="E18" s="40">
        <f>I2*(((B12-B2)^2)*((B12-B4)^2)*((B12-B6)^2))</f>
        <v>0.10698518518518534</v>
      </c>
      <c r="F18" s="40">
        <f>F17+E18</f>
        <v>303.54846666666668</v>
      </c>
    </row>
    <row r="19" spans="4:7" x14ac:dyDescent="0.25">
      <c r="D19" s="40">
        <v>7</v>
      </c>
      <c r="E19" s="40">
        <f>J2*(((B12-B2)^2)*((B12-B4)^2)*((B12-B6)^2)*(B12-B8))</f>
        <v>0.16910333333333355</v>
      </c>
      <c r="F19" s="40">
        <f>F18+E19</f>
        <v>303.71757000000002</v>
      </c>
      <c r="G19" t="s">
        <v>34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Polinomio de Lagrange</vt:lpstr>
      <vt:lpstr>Diferencia</vt:lpstr>
      <vt:lpstr>Diferencias</vt:lpstr>
      <vt:lpstr>Newton</vt:lpstr>
      <vt:lpstr>Hermite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Rivera</dc:creator>
  <cp:lastModifiedBy>Diego Rivera</cp:lastModifiedBy>
  <dcterms:created xsi:type="dcterms:W3CDTF">2024-04-13T03:18:21Z</dcterms:created>
  <dcterms:modified xsi:type="dcterms:W3CDTF">2024-04-13T03:35:43Z</dcterms:modified>
</cp:coreProperties>
</file>